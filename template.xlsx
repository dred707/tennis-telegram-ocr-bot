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120" windowWidth="27795" windowHeight="12090"/>
  </bookViews>
  <sheets>
    <sheet name="main" sheetId="1" r:id="rId1"/>
    <sheet name="0807" sheetId="3" r:id="rId2"/>
  </sheets>
  <calcPr calcId="144525"/>
</workbook>
</file>

<file path=xl/calcChain.xml><?xml version="1.0" encoding="utf-8"?>
<calcChain xmlns="http://schemas.openxmlformats.org/spreadsheetml/2006/main">
  <c r="D15" i="3" l="1"/>
  <c r="E15" i="3" s="1"/>
  <c r="D14" i="3"/>
  <c r="E14" i="3" s="1"/>
  <c r="D13" i="3"/>
  <c r="E13" i="3" s="1"/>
  <c r="I3" i="3" s="1"/>
  <c r="E6" i="3"/>
  <c r="G6" i="3" s="1"/>
  <c r="B6" i="3" s="1"/>
  <c r="D6" i="3"/>
  <c r="E5" i="3"/>
  <c r="G5" i="3" s="1"/>
  <c r="B5" i="3" s="1"/>
  <c r="D5" i="3"/>
  <c r="E4" i="3"/>
  <c r="G4" i="3" s="1"/>
  <c r="B4" i="3" s="1"/>
  <c r="E3" i="3"/>
  <c r="G3" i="3" s="1"/>
  <c r="B3" i="3" s="1"/>
  <c r="D3" i="3"/>
  <c r="D2" i="3"/>
  <c r="G2" i="3" s="1"/>
  <c r="B2" i="3" s="1"/>
  <c r="M1" i="3"/>
  <c r="O1" i="3" s="1"/>
  <c r="J1" i="3" s="1"/>
  <c r="L1" i="3"/>
  <c r="N2" i="3" l="1"/>
  <c r="N3" i="3" s="1"/>
  <c r="M1" i="1"/>
  <c r="L1" i="1"/>
  <c r="E8" i="1"/>
  <c r="E7" i="1"/>
  <c r="E6" i="1"/>
  <c r="E5" i="1"/>
  <c r="E4" i="1"/>
  <c r="E3" i="1"/>
  <c r="E2" i="1"/>
  <c r="D8" i="1"/>
  <c r="D7" i="1"/>
  <c r="D6" i="1"/>
  <c r="D5" i="1"/>
  <c r="D4" i="1"/>
  <c r="D3" i="1"/>
  <c r="D2" i="1"/>
  <c r="O1" i="1" l="1"/>
  <c r="J1" i="1" s="1"/>
  <c r="G8" i="1"/>
  <c r="B8" i="1" s="1"/>
  <c r="G7" i="1"/>
  <c r="B7" i="1" s="1"/>
  <c r="G6" i="1"/>
  <c r="B6" i="1" s="1"/>
  <c r="D18" i="1"/>
  <c r="E18" i="1" s="1"/>
  <c r="D17" i="1"/>
  <c r="E17" i="1" s="1"/>
  <c r="D16" i="1"/>
  <c r="E16" i="1" s="1"/>
  <c r="D15" i="1"/>
  <c r="E15" i="1" s="1"/>
  <c r="E22" i="1" l="1"/>
  <c r="G2" i="1"/>
  <c r="B2" i="1" s="1"/>
  <c r="N2" i="1" s="1"/>
  <c r="N3" i="1" s="1"/>
  <c r="G3" i="1"/>
  <c r="B3" i="1" s="1"/>
  <c r="G4" i="1"/>
  <c r="B4" i="1" s="1"/>
  <c r="G5" i="1"/>
  <c r="B5" i="1" s="1"/>
</calcChain>
</file>

<file path=xl/sharedStrings.xml><?xml version="1.0" encoding="utf-8"?>
<sst xmlns="http://schemas.openxmlformats.org/spreadsheetml/2006/main" count="44" uniqueCount="26">
  <si>
    <t>Гравець</t>
  </si>
  <si>
    <t>Сума</t>
  </si>
  <si>
    <t>Столи</t>
  </si>
  <si>
    <t>З</t>
  </si>
  <si>
    <t>По</t>
  </si>
  <si>
    <t>Хв.</t>
  </si>
  <si>
    <t>Стіл</t>
  </si>
  <si>
    <t>Тариф</t>
  </si>
  <si>
    <t>Пушняк</t>
  </si>
  <si>
    <t>Воронцов</t>
  </si>
  <si>
    <t>Москаленко</t>
  </si>
  <si>
    <t>Мілевський</t>
  </si>
  <si>
    <t>Хомін</t>
  </si>
  <si>
    <t>0 - 0</t>
  </si>
  <si>
    <t>4 - 4</t>
  </si>
  <si>
    <t>4 -</t>
  </si>
  <si>
    <t>7 - 6</t>
  </si>
  <si>
    <t xml:space="preserve"> - 7</t>
  </si>
  <si>
    <t>6 - 7</t>
  </si>
  <si>
    <t>Галайдюк</t>
  </si>
  <si>
    <t>7 - 7</t>
  </si>
  <si>
    <t>19:16</t>
  </si>
  <si>
    <t>21:50</t>
  </si>
  <si>
    <t>20:11</t>
  </si>
  <si>
    <t>20:56</t>
  </si>
  <si>
    <t>19:12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</si>
</sst>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5"/>
      <color theme="1"/>
      <name val="Calibri"/>
      <family val="2"/>
      <charset val="204"/>
      <scheme val="minor"/>
    </font>
    <font>
      <sz val="11"/>
      <color rgb="FF000000"/>
      <name val="Calibri"/>
      <scheme val="minor"/>
    </font>
    <font>
      <b/>
      <sz val="11"/>
      <name val="Calibri"/>
    </font>
    <font>
      <b/>
      <sz val="15"/>
      <name val="Calibri"/>
    </font>
    <font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rgb="FF92D050"/>
        <bgColor rgb="FF92D050"/>
      </patternFill>
    </fill>
  </fills>
  <borders count="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3" fillId="0" borderId="0"/>
  </cellStyleXfs>
  <cellXfs count="42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49" fontId="1" fillId="2" borderId="3" xfId="0" applyNumberFormat="1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20" fontId="0" fillId="0" borderId="0" xfId="0" applyNumberFormat="1" applyAlignment="1">
      <alignment horizontal="right"/>
    </xf>
    <xf numFmtId="0" fontId="1" fillId="2" borderId="4" xfId="0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center"/>
    </xf>
    <xf numFmtId="3" fontId="1" fillId="0" borderId="0" xfId="0" applyNumberFormat="1" applyFont="1"/>
    <xf numFmtId="49" fontId="0" fillId="0" borderId="0" xfId="0" applyNumberFormat="1" applyAlignment="1">
      <alignment horizontal="center"/>
    </xf>
    <xf numFmtId="3" fontId="0" fillId="0" borderId="0" xfId="0" applyNumberFormat="1" applyFont="1" applyAlignment="1"/>
    <xf numFmtId="3" fontId="0" fillId="0" borderId="0" xfId="0" applyNumberFormat="1" applyAlignment="1">
      <alignment horizontal="center"/>
    </xf>
    <xf numFmtId="49" fontId="0" fillId="3" borderId="0" xfId="0" applyNumberFormat="1" applyFill="1" applyAlignment="1">
      <alignment horizontal="right"/>
    </xf>
    <xf numFmtId="3" fontId="0" fillId="0" borderId="0" xfId="0" applyNumberFormat="1"/>
    <xf numFmtId="4" fontId="0" fillId="0" borderId="0" xfId="0" applyNumberFormat="1"/>
    <xf numFmtId="2" fontId="0" fillId="0" borderId="0" xfId="0" applyNumberFormat="1"/>
    <xf numFmtId="49" fontId="0" fillId="0" borderId="0" xfId="0" applyNumberFormat="1" applyAlignment="1">
      <alignment horizontal="right"/>
    </xf>
    <xf numFmtId="49" fontId="0" fillId="0" borderId="0" xfId="0" applyNumberFormat="1"/>
    <xf numFmtId="0" fontId="0" fillId="0" borderId="0" xfId="0" applyFont="1"/>
    <xf numFmtId="49" fontId="0" fillId="3" borderId="0" xfId="0" applyNumberFormat="1" applyFill="1" applyAlignment="1">
      <alignment horizontal="center"/>
    </xf>
    <xf numFmtId="0" fontId="4" fillId="4" borderId="5" xfId="1" applyFont="1" applyFill="1" applyBorder="1" applyAlignment="1">
      <alignment horizontal="center"/>
    </xf>
    <xf numFmtId="0" fontId="5" fillId="4" borderId="6" xfId="1" applyFont="1" applyFill="1" applyBorder="1" applyAlignment="1">
      <alignment horizontal="center"/>
    </xf>
    <xf numFmtId="49" fontId="4" fillId="4" borderId="7" xfId="1" applyNumberFormat="1" applyFont="1" applyFill="1" applyBorder="1" applyAlignment="1">
      <alignment horizontal="center"/>
    </xf>
    <xf numFmtId="0" fontId="4" fillId="4" borderId="7" xfId="1" applyFont="1" applyFill="1" applyBorder="1" applyAlignment="1">
      <alignment horizontal="center"/>
    </xf>
    <xf numFmtId="0" fontId="4" fillId="4" borderId="6" xfId="1" applyFont="1" applyFill="1" applyBorder="1" applyAlignment="1">
      <alignment horizontal="center"/>
    </xf>
    <xf numFmtId="20" fontId="6" fillId="0" borderId="0" xfId="1" applyNumberFormat="1" applyFont="1" applyAlignment="1">
      <alignment horizontal="right"/>
    </xf>
    <xf numFmtId="0" fontId="4" fillId="4" borderId="8" xfId="1" applyFont="1" applyFill="1" applyBorder="1" applyAlignment="1">
      <alignment horizontal="center"/>
    </xf>
    <xf numFmtId="0" fontId="3" fillId="0" borderId="0" xfId="1" applyFont="1" applyAlignment="1"/>
    <xf numFmtId="3" fontId="4" fillId="0" borderId="0" xfId="1" applyNumberFormat="1" applyFont="1"/>
    <xf numFmtId="49" fontId="6" fillId="0" borderId="0" xfId="1" applyNumberFormat="1" applyFont="1" applyAlignment="1">
      <alignment horizontal="center"/>
    </xf>
    <xf numFmtId="3" fontId="6" fillId="0" borderId="0" xfId="1" applyNumberFormat="1" applyFont="1"/>
    <xf numFmtId="0" fontId="6" fillId="0" borderId="0" xfId="1" applyFont="1" applyAlignment="1"/>
    <xf numFmtId="49" fontId="6" fillId="5" borderId="0" xfId="1" applyNumberFormat="1" applyFont="1" applyFill="1" applyBorder="1" applyAlignment="1">
      <alignment horizontal="center"/>
    </xf>
    <xf numFmtId="2" fontId="6" fillId="0" borderId="0" xfId="1" applyNumberFormat="1" applyFont="1"/>
    <xf numFmtId="49" fontId="6" fillId="0" borderId="0" xfId="1" applyNumberFormat="1" applyFont="1" applyAlignment="1">
      <alignment horizontal="right"/>
    </xf>
    <xf numFmtId="49" fontId="6" fillId="0" borderId="0" xfId="1" applyNumberFormat="1" applyFont="1"/>
    <xf numFmtId="49" fontId="4" fillId="4" borderId="5" xfId="1" applyNumberFormat="1" applyFont="1" applyFill="1" applyBorder="1" applyAlignment="1">
      <alignment horizontal="center"/>
    </xf>
    <xf numFmtId="3" fontId="6" fillId="0" borderId="0" xfId="1" applyNumberFormat="1" applyFont="1" applyAlignment="1">
      <alignment horizontal="center"/>
    </xf>
    <xf numFmtId="49" fontId="6" fillId="5" borderId="0" xfId="1" applyNumberFormat="1" applyFont="1" applyFill="1" applyBorder="1" applyAlignment="1">
      <alignment horizontal="right"/>
    </xf>
    <xf numFmtId="4" fontId="6" fillId="0" borderId="0" xfId="1" applyNumberFormat="1" applyFont="1"/>
    <xf numFmtId="0" fontId="6" fillId="0" borderId="0" xfId="1" applyFont="1"/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75"/>
  <dimension ref="A1:O22"/>
  <sheetViews>
    <sheetView tabSelected="1" zoomScaleNormal="100" workbookViewId="0"/>
  </sheetViews>
  <sheetFormatPr defaultRowHeight="15" x14ac:dyDescent="0.25"/>
  <cols>
    <col min="1" max="1" width="14" customWidth="1"/>
    <col min="2" max="2" width="8.42578125" customWidth="1"/>
    <col min="3" max="3" width="7.42578125" customWidth="1"/>
    <col min="4" max="5" width="7.28515625" customWidth="1"/>
    <col min="6" max="7" width="7.7109375" customWidth="1"/>
    <col min="10" max="11" width="9.140625" customWidth="1"/>
  </cols>
  <sheetData>
    <row r="1" spans="1:15" ht="20.25" thickBot="1" x14ac:dyDescent="0.35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/>
      <c r="G1" s="7" t="s">
        <v>5</v>
      </c>
      <c r="I1" t="s">
        <v>12</v>
      </c>
      <c r="J1" s="9" t="e">
        <f>ROUNDUP(O1*1.6, 0)</f>
        <v>#N/A</v>
      </c>
      <c r="K1" s="10" t="s">
        <v>13</v>
      </c>
      <c r="L1" s="6" t="e">
        <f>VLOOKUP(VALUE(LEFT(K1,1)),$A$15:$B$20,2,FALSE)</f>
        <v>#N/A</v>
      </c>
      <c r="M1" s="6" t="e">
        <f>VLOOKUP(VALUE(RIGHT(K1,1)),$A$15:$C$20,3,FALSE)</f>
        <v>#N/A</v>
      </c>
      <c r="N1" s="6"/>
      <c r="O1" s="11" t="e">
        <f t="shared" ref="O1" si="0">HOUR(M1-L1)*60 + MINUTE(M1-L1)</f>
        <v>#N/A</v>
      </c>
    </row>
    <row r="2" spans="1:15" x14ac:dyDescent="0.25">
      <c r="B2" s="9" t="e">
        <f>ROUNDUP(G2*1.6, 0)</f>
        <v>#VALUE!</v>
      </c>
      <c r="C2" s="20"/>
      <c r="D2" s="6" t="e">
        <f>VLOOKUP(VALUE(LEFT(C2,1)),$A$15:$B$20,2,FALSE)</f>
        <v>#VALUE!</v>
      </c>
      <c r="E2" s="6" t="e">
        <f>VLOOKUP(VALUE(RIGHT(C2,1)),$A$15:$C$20,3,FALSE)</f>
        <v>#VALUE!</v>
      </c>
      <c r="F2" s="6"/>
      <c r="G2" s="11" t="e">
        <f t="shared" ref="G2:G8" si="1">HOUR(E2-D2)*60 + MINUTE(E2-D2)</f>
        <v>#VALUE!</v>
      </c>
      <c r="N2" s="14" t="e">
        <f>E22-SUM(B2:B11)</f>
        <v>#VALUE!</v>
      </c>
    </row>
    <row r="3" spans="1:15" x14ac:dyDescent="0.25">
      <c r="B3" s="9" t="e">
        <f t="shared" ref="B3:B8" si="2">ROUNDUP(G3*1.6, 0)</f>
        <v>#VALUE!</v>
      </c>
      <c r="C3" s="20"/>
      <c r="D3" s="6" t="e">
        <f t="shared" ref="D3:D8" si="3">VLOOKUP(VALUE(LEFT(C3,1)),$A$15:$B$20,2,FALSE)</f>
        <v>#VALUE!</v>
      </c>
      <c r="E3" s="6" t="e">
        <f t="shared" ref="E3:E8" si="4">VLOOKUP(VALUE(RIGHT(C3,1)),$A$15:$C$20,3,FALSE)</f>
        <v>#VALUE!</v>
      </c>
      <c r="F3" s="6"/>
      <c r="G3" s="11" t="e">
        <f t="shared" si="1"/>
        <v>#VALUE!</v>
      </c>
      <c r="H3" s="16"/>
      <c r="N3" s="9" t="e">
        <f>N2-J1</f>
        <v>#VALUE!</v>
      </c>
    </row>
    <row r="4" spans="1:15" x14ac:dyDescent="0.25">
      <c r="B4" s="9" t="e">
        <f t="shared" si="2"/>
        <v>#VALUE!</v>
      </c>
      <c r="C4" s="20"/>
      <c r="D4" s="6" t="e">
        <f t="shared" si="3"/>
        <v>#VALUE!</v>
      </c>
      <c r="E4" s="6" t="e">
        <f t="shared" si="4"/>
        <v>#VALUE!</v>
      </c>
      <c r="F4" s="6"/>
      <c r="G4" s="11" t="e">
        <f t="shared" si="1"/>
        <v>#VALUE!</v>
      </c>
    </row>
    <row r="5" spans="1:15" x14ac:dyDescent="0.25">
      <c r="B5" s="9" t="e">
        <f t="shared" si="2"/>
        <v>#VALUE!</v>
      </c>
      <c r="C5" s="20"/>
      <c r="D5" s="6" t="e">
        <f t="shared" si="3"/>
        <v>#VALUE!</v>
      </c>
      <c r="E5" s="6" t="e">
        <f t="shared" si="4"/>
        <v>#VALUE!</v>
      </c>
      <c r="F5" s="6"/>
      <c r="G5" s="11" t="e">
        <f t="shared" si="1"/>
        <v>#VALUE!</v>
      </c>
    </row>
    <row r="6" spans="1:15" x14ac:dyDescent="0.25">
      <c r="B6" s="9" t="e">
        <f t="shared" si="2"/>
        <v>#VALUE!</v>
      </c>
      <c r="C6" s="20"/>
      <c r="D6" s="6" t="e">
        <f t="shared" si="3"/>
        <v>#VALUE!</v>
      </c>
      <c r="E6" s="6" t="e">
        <f t="shared" si="4"/>
        <v>#VALUE!</v>
      </c>
      <c r="F6" s="6"/>
      <c r="G6" s="11" t="e">
        <f t="shared" si="1"/>
        <v>#VALUE!</v>
      </c>
      <c r="I6" s="10"/>
      <c r="J6" s="17"/>
      <c r="K6" s="17"/>
      <c r="L6" s="18"/>
      <c r="M6" s="18"/>
      <c r="N6" s="18"/>
    </row>
    <row r="7" spans="1:15" x14ac:dyDescent="0.25">
      <c r="B7" s="9" t="e">
        <f t="shared" si="2"/>
        <v>#VALUE!</v>
      </c>
      <c r="C7" s="20"/>
      <c r="D7" s="6" t="e">
        <f t="shared" si="3"/>
        <v>#VALUE!</v>
      </c>
      <c r="E7" s="6" t="e">
        <f t="shared" si="4"/>
        <v>#VALUE!</v>
      </c>
      <c r="F7" s="6"/>
      <c r="G7" s="11" t="e">
        <f t="shared" si="1"/>
        <v>#VALUE!</v>
      </c>
      <c r="I7" s="10"/>
      <c r="J7" s="17"/>
      <c r="K7" s="17"/>
      <c r="L7" s="18"/>
      <c r="M7" s="18"/>
      <c r="N7" s="18"/>
    </row>
    <row r="8" spans="1:15" x14ac:dyDescent="0.25">
      <c r="B8" s="9" t="e">
        <f t="shared" si="2"/>
        <v>#VALUE!</v>
      </c>
      <c r="C8" s="20"/>
      <c r="D8" s="6" t="e">
        <f t="shared" si="3"/>
        <v>#VALUE!</v>
      </c>
      <c r="E8" s="6" t="e">
        <f t="shared" si="4"/>
        <v>#VALUE!</v>
      </c>
      <c r="F8" s="6"/>
      <c r="G8" s="11" t="e">
        <f t="shared" si="1"/>
        <v>#VALUE!</v>
      </c>
      <c r="I8" s="10"/>
      <c r="J8" s="17"/>
      <c r="K8" s="17"/>
      <c r="L8" s="18"/>
      <c r="M8" s="18"/>
      <c r="N8" s="18"/>
    </row>
    <row r="9" spans="1:15" x14ac:dyDescent="0.25">
      <c r="B9" s="9"/>
      <c r="C9" s="10"/>
      <c r="D9" s="6"/>
      <c r="E9" s="6"/>
      <c r="F9" s="6"/>
      <c r="G9" s="11"/>
      <c r="I9" s="10"/>
      <c r="J9" s="17"/>
      <c r="K9" s="17"/>
      <c r="L9" s="18"/>
      <c r="M9" s="18"/>
      <c r="N9" s="18"/>
    </row>
    <row r="10" spans="1:15" x14ac:dyDescent="0.25">
      <c r="B10" s="9"/>
      <c r="C10" s="10"/>
      <c r="D10" s="6"/>
      <c r="E10" s="6"/>
      <c r="F10" s="6"/>
      <c r="G10" s="11"/>
      <c r="I10" s="10"/>
      <c r="J10" s="17"/>
      <c r="K10" s="17"/>
      <c r="L10" s="18"/>
      <c r="M10" s="18"/>
      <c r="N10" s="18"/>
    </row>
    <row r="11" spans="1:15" x14ac:dyDescent="0.25">
      <c r="B11" s="9"/>
      <c r="C11" s="10"/>
      <c r="D11" s="6"/>
      <c r="E11" s="6"/>
      <c r="F11" s="6"/>
      <c r="G11" s="11"/>
      <c r="I11" s="10"/>
      <c r="J11" s="17"/>
      <c r="K11" s="17"/>
      <c r="L11" s="18"/>
      <c r="M11" s="18"/>
      <c r="N11" s="18"/>
    </row>
    <row r="12" spans="1:15" x14ac:dyDescent="0.25">
      <c r="B12" s="9"/>
      <c r="C12" s="10"/>
      <c r="D12" s="6"/>
      <c r="E12" s="6"/>
      <c r="F12" s="6"/>
      <c r="G12" s="11"/>
      <c r="I12" s="10"/>
      <c r="J12" s="17"/>
      <c r="K12" s="17"/>
      <c r="L12" s="18"/>
      <c r="M12" s="18"/>
      <c r="N12" s="18"/>
    </row>
    <row r="13" spans="1:15" ht="15.75" thickBot="1" x14ac:dyDescent="0.3">
      <c r="B13" s="9"/>
      <c r="C13" s="10"/>
      <c r="D13" s="6"/>
      <c r="E13" s="6"/>
      <c r="F13" s="6"/>
      <c r="G13" s="11"/>
    </row>
    <row r="14" spans="1:15" ht="15.75" thickBot="1" x14ac:dyDescent="0.3">
      <c r="A14" s="8" t="s">
        <v>6</v>
      </c>
      <c r="B14" s="4" t="s">
        <v>3</v>
      </c>
      <c r="C14" s="4" t="s">
        <v>4</v>
      </c>
      <c r="D14" s="4" t="s">
        <v>5</v>
      </c>
      <c r="E14" s="4" t="s">
        <v>1</v>
      </c>
      <c r="F14" s="5" t="s">
        <v>7</v>
      </c>
    </row>
    <row r="15" spans="1:15" x14ac:dyDescent="0.25">
      <c r="A15" s="12"/>
      <c r="B15" s="13"/>
      <c r="C15" s="13"/>
      <c r="D15" s="14">
        <f>HOUR(C15-B15)*60 + MINUTE(C15-B15)</f>
        <v>0</v>
      </c>
      <c r="E15" s="15">
        <f>ROUND(ROUND(D15*4, 0)*0.8, 0)</f>
        <v>0</v>
      </c>
      <c r="F15">
        <v>240</v>
      </c>
    </row>
    <row r="16" spans="1:15" x14ac:dyDescent="0.25">
      <c r="A16" s="12"/>
      <c r="B16" s="13"/>
      <c r="C16" s="13"/>
      <c r="D16" s="14">
        <f t="shared" ref="D16:D18" si="5">HOUR(C16-B16)*60 + MINUTE(C16-B16)</f>
        <v>0</v>
      </c>
      <c r="E16" s="15">
        <f t="shared" ref="E16:E18" si="6">ROUND(ROUND(D16*4, 0)*0.8, 0)</f>
        <v>0</v>
      </c>
      <c r="F16">
        <v>240</v>
      </c>
    </row>
    <row r="17" spans="1:7" x14ac:dyDescent="0.25">
      <c r="A17" s="12"/>
      <c r="B17" s="13"/>
      <c r="C17" s="13"/>
      <c r="D17" s="14">
        <f t="shared" si="5"/>
        <v>0</v>
      </c>
      <c r="E17" s="15">
        <f t="shared" si="6"/>
        <v>0</v>
      </c>
      <c r="F17">
        <v>240</v>
      </c>
    </row>
    <row r="18" spans="1:7" x14ac:dyDescent="0.25">
      <c r="A18" s="12"/>
      <c r="B18" s="13"/>
      <c r="C18" s="13"/>
      <c r="D18" s="14">
        <f t="shared" si="5"/>
        <v>0</v>
      </c>
      <c r="E18" s="15">
        <f t="shared" si="6"/>
        <v>0</v>
      </c>
      <c r="F18">
        <v>240</v>
      </c>
    </row>
    <row r="19" spans="1:7" x14ac:dyDescent="0.25">
      <c r="A19" s="12"/>
      <c r="D19" s="14"/>
      <c r="E19" s="15"/>
    </row>
    <row r="20" spans="1:7" x14ac:dyDescent="0.25">
      <c r="G20" s="19"/>
    </row>
    <row r="22" spans="1:7" x14ac:dyDescent="0.25">
      <c r="E22" s="9">
        <f>SUM(E15:E20)</f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98"/>
  <sheetViews>
    <sheetView workbookViewId="0"/>
  </sheetViews>
  <sheetFormatPr defaultColWidth="14.42578125" defaultRowHeight="15" customHeight="1" x14ac:dyDescent="0.25"/>
  <cols>
    <col min="1" max="1" width="14" style="28" customWidth="1"/>
    <col min="2" max="2" width="8.42578125" style="28" customWidth="1"/>
    <col min="3" max="3" width="7.42578125" style="28" customWidth="1"/>
    <col min="4" max="5" width="7.28515625" style="28" customWidth="1"/>
    <col min="6" max="7" width="7.7109375" style="28" customWidth="1"/>
    <col min="8" max="9" width="8.7109375" style="28" customWidth="1"/>
    <col min="10" max="11" width="9.140625" style="28" customWidth="1"/>
    <col min="12" max="15" width="8.7109375" style="28" customWidth="1"/>
    <col min="16" max="16384" width="14.42578125" style="28"/>
  </cols>
  <sheetData>
    <row r="1" spans="1:15" ht="20.25" thickBot="1" x14ac:dyDescent="0.35">
      <c r="A1" s="21" t="s">
        <v>0</v>
      </c>
      <c r="B1" s="22" t="s">
        <v>1</v>
      </c>
      <c r="C1" s="23" t="s">
        <v>2</v>
      </c>
      <c r="D1" s="24" t="s">
        <v>3</v>
      </c>
      <c r="E1" s="25" t="s">
        <v>4</v>
      </c>
      <c r="F1" s="26"/>
      <c r="G1" s="27" t="s">
        <v>5</v>
      </c>
      <c r="I1" s="28" t="s">
        <v>12</v>
      </c>
      <c r="J1" s="29">
        <f>ROUNDUP(O1*1.6, 0)</f>
        <v>247</v>
      </c>
      <c r="K1" s="30" t="s">
        <v>14</v>
      </c>
      <c r="L1" s="26" t="str">
        <f>VLOOKUP(VALUE(LEFT(K1,1)),$A$13:$B$17,2,FALSE)</f>
        <v>19:16</v>
      </c>
      <c r="M1" s="26" t="str">
        <f>VLOOKUP(VALUE(RIGHT(K1,1)),$A$13:$C$17,3,FALSE)</f>
        <v>21:50</v>
      </c>
      <c r="N1" s="26"/>
      <c r="O1" s="31">
        <f>HOUR(M1-L1)*60 + MINUTE(M1-L1)</f>
        <v>154</v>
      </c>
    </row>
    <row r="2" spans="1:15" x14ac:dyDescent="0.25">
      <c r="A2" s="32" t="s">
        <v>10</v>
      </c>
      <c r="B2" s="29">
        <f t="shared" ref="B2:B6" si="0">ROUNDUP(G2*1.6, 0)</f>
        <v>199</v>
      </c>
      <c r="C2" s="33" t="s">
        <v>15</v>
      </c>
      <c r="D2" s="26" t="str">
        <f t="shared" ref="D2:D3" si="1">VLOOKUP(VALUE(LEFT(C2,1)),$A$13:$B$17,2,FALSE)</f>
        <v>19:16</v>
      </c>
      <c r="E2" s="26">
        <v>0.88888888888888884</v>
      </c>
      <c r="F2" s="26"/>
      <c r="G2" s="31">
        <f t="shared" ref="G2:G6" si="2">HOUR(E2-D2)*60 + MINUTE(E2-D2)</f>
        <v>124</v>
      </c>
      <c r="N2" s="31">
        <f>I3-SUM(B2:B9)</f>
        <v>141</v>
      </c>
    </row>
    <row r="3" spans="1:15" x14ac:dyDescent="0.25">
      <c r="A3" s="32" t="s">
        <v>9</v>
      </c>
      <c r="B3" s="29">
        <f t="shared" si="0"/>
        <v>167</v>
      </c>
      <c r="C3" s="33" t="s">
        <v>16</v>
      </c>
      <c r="D3" s="26" t="str">
        <f t="shared" si="1"/>
        <v>19:12</v>
      </c>
      <c r="E3" s="26" t="str">
        <f t="shared" ref="E3:E6" si="3">VLOOKUP(VALUE(RIGHT(C3,1)),$A$13:$C$17,3,FALSE)</f>
        <v>20:56</v>
      </c>
      <c r="F3" s="26"/>
      <c r="G3" s="31">
        <f t="shared" si="2"/>
        <v>104</v>
      </c>
      <c r="H3" s="34"/>
      <c r="I3" s="29">
        <f>SUM(E13:E17)</f>
        <v>1143</v>
      </c>
      <c r="N3" s="29">
        <f>N2-J1</f>
        <v>-106</v>
      </c>
    </row>
    <row r="4" spans="1:15" x14ac:dyDescent="0.25">
      <c r="A4" s="32" t="s">
        <v>11</v>
      </c>
      <c r="B4" s="29">
        <f t="shared" si="0"/>
        <v>224</v>
      </c>
      <c r="C4" s="33" t="s">
        <v>17</v>
      </c>
      <c r="D4" s="26">
        <v>0.8125</v>
      </c>
      <c r="E4" s="26" t="str">
        <f t="shared" si="3"/>
        <v>21:50</v>
      </c>
      <c r="F4" s="26"/>
      <c r="G4" s="31">
        <f t="shared" si="2"/>
        <v>140</v>
      </c>
    </row>
    <row r="5" spans="1:15" x14ac:dyDescent="0.25">
      <c r="A5" s="32" t="s">
        <v>8</v>
      </c>
      <c r="B5" s="29">
        <f t="shared" si="0"/>
        <v>159</v>
      </c>
      <c r="C5" s="33" t="s">
        <v>18</v>
      </c>
      <c r="D5" s="26" t="str">
        <f t="shared" ref="D5:D6" si="4">VLOOKUP(VALUE(LEFT(C5,1)),$A$13:$B$17,2,FALSE)</f>
        <v>20:11</v>
      </c>
      <c r="E5" s="26" t="str">
        <f t="shared" si="3"/>
        <v>21:50</v>
      </c>
      <c r="F5" s="26"/>
      <c r="G5" s="31">
        <f t="shared" si="2"/>
        <v>99</v>
      </c>
    </row>
    <row r="6" spans="1:15" x14ac:dyDescent="0.25">
      <c r="A6" s="32" t="s">
        <v>19</v>
      </c>
      <c r="B6" s="29">
        <f t="shared" si="0"/>
        <v>253</v>
      </c>
      <c r="C6" s="33" t="s">
        <v>20</v>
      </c>
      <c r="D6" s="26" t="str">
        <f t="shared" si="4"/>
        <v>19:12</v>
      </c>
      <c r="E6" s="26" t="str">
        <f t="shared" si="3"/>
        <v>21:50</v>
      </c>
      <c r="F6" s="26"/>
      <c r="G6" s="31">
        <f t="shared" si="2"/>
        <v>158</v>
      </c>
      <c r="I6" s="30"/>
      <c r="J6" s="35"/>
      <c r="K6" s="35"/>
      <c r="L6" s="36"/>
      <c r="M6" s="36"/>
      <c r="N6" s="36"/>
    </row>
    <row r="7" spans="1:15" x14ac:dyDescent="0.25">
      <c r="B7" s="29"/>
      <c r="C7" s="30"/>
      <c r="D7" s="26"/>
      <c r="E7" s="26"/>
      <c r="F7" s="26"/>
      <c r="G7" s="31"/>
      <c r="I7" s="30"/>
      <c r="J7" s="35"/>
      <c r="K7" s="35"/>
      <c r="L7" s="36"/>
      <c r="M7" s="36"/>
      <c r="N7" s="36"/>
    </row>
    <row r="8" spans="1:15" x14ac:dyDescent="0.25">
      <c r="B8" s="29"/>
      <c r="C8" s="30"/>
      <c r="D8" s="26"/>
      <c r="E8" s="26"/>
      <c r="F8" s="26"/>
      <c r="G8" s="31"/>
      <c r="I8" s="30"/>
      <c r="J8" s="35"/>
      <c r="K8" s="35"/>
      <c r="L8" s="36"/>
      <c r="M8" s="36"/>
      <c r="N8" s="36"/>
    </row>
    <row r="9" spans="1:15" x14ac:dyDescent="0.25">
      <c r="B9" s="29"/>
      <c r="C9" s="30"/>
      <c r="D9" s="26"/>
      <c r="E9" s="26"/>
      <c r="F9" s="26"/>
      <c r="G9" s="31"/>
      <c r="I9" s="30"/>
      <c r="J9" s="35"/>
      <c r="K9" s="35"/>
      <c r="L9" s="36"/>
      <c r="M9" s="36"/>
      <c r="N9" s="36"/>
    </row>
    <row r="10" spans="1:15" x14ac:dyDescent="0.25">
      <c r="B10" s="29"/>
      <c r="C10" s="30"/>
      <c r="D10" s="26"/>
      <c r="E10" s="26"/>
      <c r="F10" s="26"/>
      <c r="G10" s="31"/>
      <c r="I10" s="30"/>
      <c r="J10" s="35"/>
      <c r="K10" s="35"/>
      <c r="L10" s="36"/>
      <c r="M10" s="36"/>
      <c r="N10" s="36"/>
    </row>
    <row r="11" spans="1:15" ht="15.75" thickBot="1" x14ac:dyDescent="0.3">
      <c r="B11" s="29"/>
      <c r="C11" s="30"/>
      <c r="D11" s="26"/>
      <c r="E11" s="26"/>
      <c r="F11" s="26"/>
      <c r="G11" s="31"/>
    </row>
    <row r="12" spans="1:15" ht="15.75" thickBot="1" x14ac:dyDescent="0.3">
      <c r="A12" s="37" t="s">
        <v>6</v>
      </c>
      <c r="B12" s="24" t="s">
        <v>3</v>
      </c>
      <c r="C12" s="24" t="s">
        <v>4</v>
      </c>
      <c r="D12" s="24" t="s">
        <v>5</v>
      </c>
      <c r="E12" s="24" t="s">
        <v>1</v>
      </c>
      <c r="F12" s="25" t="s">
        <v>7</v>
      </c>
    </row>
    <row r="13" spans="1:15" x14ac:dyDescent="0.25">
      <c r="A13" s="38">
        <v>4</v>
      </c>
      <c r="B13" s="39" t="s">
        <v>21</v>
      </c>
      <c r="C13" s="39" t="s">
        <v>22</v>
      </c>
      <c r="D13" s="31">
        <f t="shared" ref="D13:D15" si="5">HOUR(C13-B13)*60 + MINUTE(C13-B13)</f>
        <v>154</v>
      </c>
      <c r="E13" s="40">
        <f t="shared" ref="E13:E15" si="6">ROUND(ROUND(D13*4, 0)*0.8, 0)</f>
        <v>493</v>
      </c>
      <c r="F13" s="28">
        <v>240</v>
      </c>
    </row>
    <row r="14" spans="1:15" x14ac:dyDescent="0.25">
      <c r="A14" s="38">
        <v>6</v>
      </c>
      <c r="B14" s="39" t="s">
        <v>23</v>
      </c>
      <c r="C14" s="39" t="s">
        <v>24</v>
      </c>
      <c r="D14" s="31">
        <f t="shared" si="5"/>
        <v>45</v>
      </c>
      <c r="E14" s="40">
        <f t="shared" si="6"/>
        <v>144</v>
      </c>
      <c r="F14" s="28">
        <v>240</v>
      </c>
    </row>
    <row r="15" spans="1:15" x14ac:dyDescent="0.25">
      <c r="A15" s="38">
        <v>7</v>
      </c>
      <c r="B15" s="39" t="s">
        <v>25</v>
      </c>
      <c r="C15" s="39" t="s">
        <v>22</v>
      </c>
      <c r="D15" s="31">
        <f t="shared" si="5"/>
        <v>158</v>
      </c>
      <c r="E15" s="40">
        <f t="shared" si="6"/>
        <v>506</v>
      </c>
      <c r="F15" s="28">
        <v>240</v>
      </c>
    </row>
    <row r="16" spans="1:15" x14ac:dyDescent="0.25">
      <c r="A16" s="38"/>
      <c r="D16" s="31"/>
      <c r="E16" s="40"/>
    </row>
    <row r="17" spans="7:7" x14ac:dyDescent="0.25">
      <c r="G17" s="41"/>
    </row>
    <row r="18" spans="7:7" ht="15.75" customHeight="1" x14ac:dyDescent="0.25"/>
    <row r="19" spans="7:7" ht="15.75" customHeight="1" x14ac:dyDescent="0.25"/>
    <row r="20" spans="7:7" ht="15.75" customHeight="1" x14ac:dyDescent="0.25"/>
    <row r="21" spans="7:7" ht="15.75" customHeight="1" x14ac:dyDescent="0.25"/>
    <row r="22" spans="7:7" ht="15.75" customHeight="1" x14ac:dyDescent="0.25"/>
    <row r="23" spans="7:7" ht="15.75" customHeight="1" x14ac:dyDescent="0.25"/>
    <row r="24" spans="7:7" ht="15.75" customHeight="1" x14ac:dyDescent="0.25"/>
    <row r="25" spans="7:7" ht="15.75" customHeight="1" x14ac:dyDescent="0.25"/>
    <row r="26" spans="7:7" ht="15.75" customHeight="1" x14ac:dyDescent="0.25"/>
    <row r="27" spans="7:7" ht="15.75" customHeight="1" x14ac:dyDescent="0.25"/>
    <row r="28" spans="7:7" ht="15.75" customHeight="1" x14ac:dyDescent="0.25"/>
    <row r="29" spans="7:7" ht="15.75" customHeight="1" x14ac:dyDescent="0.25"/>
    <row r="30" spans="7:7" ht="15.75" customHeight="1" x14ac:dyDescent="0.25"/>
    <row r="31" spans="7:7" ht="15.75" customHeight="1" x14ac:dyDescent="0.25"/>
    <row r="32" spans="7:7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</sheetData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main</vt:lpstr>
      <vt:lpstr>0807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Хомін</dc:creator>
  <cp:lastModifiedBy>Хомін</cp:lastModifiedBy>
  <dcterms:created xsi:type="dcterms:W3CDTF">2025-07-05T17:25:58Z</dcterms:created>
  <dcterms:modified xsi:type="dcterms:W3CDTF">2025-07-10T09:56:16Z</dcterms:modified>
</cp:coreProperties>
</file>