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090"/>
  </bookViews>
  <sheets>
    <sheet name="main" sheetId="1" r:id="rId1"/>
  </sheets>
  <calcPr calcId="144525"/>
</workbook>
</file>

<file path=xl/calcChain.xml><?xml version="1.0" encoding="utf-8"?>
<calcChain xmlns="http://schemas.openxmlformats.org/spreadsheetml/2006/main">
  <c r="M1" i="1" l="1"/>
  <c r="L1" i="1"/>
  <c r="E8" i="1"/>
  <c r="E7" i="1"/>
  <c r="E6" i="1"/>
  <c r="E5" i="1"/>
  <c r="E4" i="1"/>
  <c r="E3" i="1"/>
  <c r="E2" i="1"/>
  <c r="D8" i="1"/>
  <c r="D7" i="1"/>
  <c r="D6" i="1"/>
  <c r="D5" i="1"/>
  <c r="D4" i="1"/>
  <c r="D3" i="1"/>
  <c r="D2" i="1"/>
  <c r="O1" i="1" l="1"/>
  <c r="J1" i="1" s="1"/>
  <c r="G8" i="1"/>
  <c r="B8" i="1" s="1"/>
  <c r="G7" i="1"/>
  <c r="B7" i="1" s="1"/>
  <c r="G6" i="1"/>
  <c r="B6" i="1" s="1"/>
  <c r="D18" i="1"/>
  <c r="E18" i="1" s="1"/>
  <c r="D17" i="1"/>
  <c r="E17" i="1" s="1"/>
  <c r="D16" i="1"/>
  <c r="E16" i="1" s="1"/>
  <c r="D15" i="1"/>
  <c r="E15" i="1" s="1"/>
  <c r="E22" i="1" l="1"/>
  <c r="G2" i="1"/>
  <c r="B2" i="1" s="1"/>
  <c r="N2" i="1" s="1"/>
  <c r="N3" i="1" s="1"/>
  <c r="G3" i="1"/>
  <c r="B3" i="1" s="1"/>
  <c r="G4" i="1"/>
  <c r="B4" i="1" s="1"/>
  <c r="G5" i="1"/>
  <c r="B5" i="1" s="1"/>
</calcChain>
</file>

<file path=xl/sharedStrings.xml><?xml version="1.0" encoding="utf-8"?>
<sst xmlns="http://schemas.openxmlformats.org/spreadsheetml/2006/main" count="14" uniqueCount="10">
  <si>
    <t>Гравець</t>
  </si>
  <si>
    <t>Сума</t>
  </si>
  <si>
    <t>Столи</t>
  </si>
  <si>
    <t>З</t>
  </si>
  <si>
    <t>По</t>
  </si>
  <si>
    <t>Хв.</t>
  </si>
  <si>
    <t>Стіл</t>
  </si>
  <si>
    <t>Тариф</t>
  </si>
  <si>
    <t>Хомін</t>
  </si>
  <si>
    <t>0 - 0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</si>
</sst>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5"/>
      <color theme="1"/>
      <name val="Calibri"/>
      <family val="2"/>
      <charset val="204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20" fontId="0" fillId="0" borderId="0" xfId="0" applyNumberFormat="1" applyAlignment="1">
      <alignment horizontal="right"/>
    </xf>
    <xf numFmtId="0" fontId="1" fillId="2" borderId="4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3" fontId="1" fillId="0" borderId="0" xfId="0" applyNumberFormat="1" applyFont="1"/>
    <xf numFmtId="49" fontId="0" fillId="0" borderId="0" xfId="0" applyNumberFormat="1" applyAlignment="1">
      <alignment horizontal="center"/>
    </xf>
    <xf numFmtId="3" fontId="0" fillId="0" borderId="0" xfId="0" applyNumberFormat="1" applyFont="1" applyAlignment="1"/>
    <xf numFmtId="3" fontId="0" fillId="0" borderId="0" xfId="0" applyNumberFormat="1" applyAlignment="1">
      <alignment horizontal="center"/>
    </xf>
    <xf numFmtId="49" fontId="0" fillId="3" borderId="0" xfId="0" applyNumberFormat="1" applyFill="1" applyAlignment="1">
      <alignment horizontal="right"/>
    </xf>
    <xf numFmtId="3" fontId="0" fillId="0" borderId="0" xfId="0" applyNumberFormat="1"/>
    <xf numFmtId="4" fontId="0" fillId="0" borderId="0" xfId="0" applyNumberFormat="1"/>
    <xf numFmtId="2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applyFont="1"/>
    <xf numFmtId="49" fontId="0" fillId="3" borderId="0" xfId="0" applyNumberFormat="1" applyFill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5"/>
  <dimension ref="A1:O22"/>
  <sheetViews>
    <sheetView tabSelected="1" zoomScaleNormal="100" workbookViewId="0">
      <selection activeCell="A2" sqref="A2"/>
    </sheetView>
  </sheetViews>
  <sheetFormatPr defaultRowHeight="15" x14ac:dyDescent="0.25"/>
  <cols>
    <col min="1" max="1" width="14" customWidth="1"/>
    <col min="2" max="2" width="8.42578125" customWidth="1"/>
    <col min="3" max="3" width="7.42578125" customWidth="1"/>
    <col min="4" max="5" width="7.28515625" customWidth="1"/>
    <col min="6" max="7" width="7.7109375" customWidth="1"/>
    <col min="10" max="11" width="9.140625" customWidth="1"/>
  </cols>
  <sheetData>
    <row r="1" spans="1:15" ht="20.2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 t="s">
        <v>5</v>
      </c>
      <c r="I1" t="s">
        <v>8</v>
      </c>
      <c r="J1" s="9" t="e">
        <f>ROUNDUP(O1*1.6, 0)</f>
        <v>#N/A</v>
      </c>
      <c r="K1" s="10" t="s">
        <v>9</v>
      </c>
      <c r="L1" s="6" t="e">
        <f>VLOOKUP(VALUE(LEFT(K1,1)),$A$15:$B$20,2,FALSE)</f>
        <v>#N/A</v>
      </c>
      <c r="M1" s="6" t="e">
        <f>VLOOKUP(VALUE(RIGHT(K1,1)),$A$15:$C$20,3,FALSE)</f>
        <v>#N/A</v>
      </c>
      <c r="N1" s="6"/>
      <c r="O1" s="11" t="e">
        <f t="shared" ref="O1" si="0">HOUR(M1-L1)*60 + MINUTE(M1-L1)</f>
        <v>#N/A</v>
      </c>
    </row>
    <row r="2" spans="1:15" x14ac:dyDescent="0.25">
      <c r="B2" s="9" t="e">
        <f>ROUNDUP(G2*1.6, 0)</f>
        <v>#VALUE!</v>
      </c>
      <c r="C2" s="20"/>
      <c r="D2" s="6" t="e">
        <f>VLOOKUP(VALUE(LEFT(C2,1)),$A$15:$B$20,2,FALSE)</f>
        <v>#VALUE!</v>
      </c>
      <c r="E2" s="6" t="e">
        <f>VLOOKUP(VALUE(RIGHT(C2,1)),$A$15:$C$20,3,FALSE)</f>
        <v>#VALUE!</v>
      </c>
      <c r="F2" s="6"/>
      <c r="G2" s="11" t="e">
        <f t="shared" ref="G2:G8" si="1">HOUR(E2-D2)*60 + MINUTE(E2-D2)</f>
        <v>#VALUE!</v>
      </c>
      <c r="N2" s="14" t="e">
        <f>E22-SUM(B2:B11)</f>
        <v>#VALUE!</v>
      </c>
    </row>
    <row r="3" spans="1:15" x14ac:dyDescent="0.25">
      <c r="B3" s="9" t="e">
        <f t="shared" ref="B3:B8" si="2">ROUNDUP(G3*1.6, 0)</f>
        <v>#VALUE!</v>
      </c>
      <c r="C3" s="20"/>
      <c r="D3" s="6" t="e">
        <f t="shared" ref="D3:D8" si="3">VLOOKUP(VALUE(LEFT(C3,1)),$A$15:$B$20,2,FALSE)</f>
        <v>#VALUE!</v>
      </c>
      <c r="E3" s="6" t="e">
        <f t="shared" ref="E3:E8" si="4">VLOOKUP(VALUE(RIGHT(C3,1)),$A$15:$C$20,3,FALSE)</f>
        <v>#VALUE!</v>
      </c>
      <c r="F3" s="6"/>
      <c r="G3" s="11" t="e">
        <f t="shared" si="1"/>
        <v>#VALUE!</v>
      </c>
      <c r="H3" s="16"/>
      <c r="N3" s="9" t="e">
        <f>N2-J1</f>
        <v>#VALUE!</v>
      </c>
    </row>
    <row r="4" spans="1:15" x14ac:dyDescent="0.25">
      <c r="B4" s="9" t="e">
        <f t="shared" si="2"/>
        <v>#VALUE!</v>
      </c>
      <c r="C4" s="20"/>
      <c r="D4" s="6" t="e">
        <f t="shared" si="3"/>
        <v>#VALUE!</v>
      </c>
      <c r="E4" s="6" t="e">
        <f t="shared" si="4"/>
        <v>#VALUE!</v>
      </c>
      <c r="F4" s="6"/>
      <c r="G4" s="11" t="e">
        <f t="shared" si="1"/>
        <v>#VALUE!</v>
      </c>
    </row>
    <row r="5" spans="1:15" x14ac:dyDescent="0.25">
      <c r="B5" s="9" t="e">
        <f t="shared" si="2"/>
        <v>#VALUE!</v>
      </c>
      <c r="C5" s="20"/>
      <c r="D5" s="6" t="e">
        <f t="shared" si="3"/>
        <v>#VALUE!</v>
      </c>
      <c r="E5" s="6" t="e">
        <f t="shared" si="4"/>
        <v>#VALUE!</v>
      </c>
      <c r="F5" s="6"/>
      <c r="G5" s="11" t="e">
        <f t="shared" si="1"/>
        <v>#VALUE!</v>
      </c>
    </row>
    <row r="6" spans="1:15" x14ac:dyDescent="0.25">
      <c r="B6" s="9" t="e">
        <f t="shared" si="2"/>
        <v>#VALUE!</v>
      </c>
      <c r="C6" s="20"/>
      <c r="D6" s="6" t="e">
        <f t="shared" si="3"/>
        <v>#VALUE!</v>
      </c>
      <c r="E6" s="6" t="e">
        <f t="shared" si="4"/>
        <v>#VALUE!</v>
      </c>
      <c r="F6" s="6"/>
      <c r="G6" s="11" t="e">
        <f t="shared" si="1"/>
        <v>#VALUE!</v>
      </c>
      <c r="I6" s="10"/>
      <c r="J6" s="17"/>
      <c r="K6" s="17"/>
      <c r="L6" s="18"/>
      <c r="M6" s="18"/>
      <c r="N6" s="18"/>
    </row>
    <row r="7" spans="1:15" x14ac:dyDescent="0.25">
      <c r="B7" s="9" t="e">
        <f t="shared" si="2"/>
        <v>#VALUE!</v>
      </c>
      <c r="C7" s="20"/>
      <c r="D7" s="6" t="e">
        <f t="shared" si="3"/>
        <v>#VALUE!</v>
      </c>
      <c r="E7" s="6" t="e">
        <f t="shared" si="4"/>
        <v>#VALUE!</v>
      </c>
      <c r="F7" s="6"/>
      <c r="G7" s="11" t="e">
        <f t="shared" si="1"/>
        <v>#VALUE!</v>
      </c>
      <c r="I7" s="10"/>
      <c r="J7" s="17"/>
      <c r="K7" s="17"/>
      <c r="L7" s="18"/>
      <c r="M7" s="18"/>
      <c r="N7" s="18"/>
    </row>
    <row r="8" spans="1:15" x14ac:dyDescent="0.25">
      <c r="B8" s="9" t="e">
        <f t="shared" si="2"/>
        <v>#VALUE!</v>
      </c>
      <c r="C8" s="20"/>
      <c r="D8" s="6" t="e">
        <f t="shared" si="3"/>
        <v>#VALUE!</v>
      </c>
      <c r="E8" s="6" t="e">
        <f t="shared" si="4"/>
        <v>#VALUE!</v>
      </c>
      <c r="F8" s="6"/>
      <c r="G8" s="11" t="e">
        <f t="shared" si="1"/>
        <v>#VALUE!</v>
      </c>
      <c r="I8" s="10"/>
      <c r="J8" s="17"/>
      <c r="K8" s="17"/>
      <c r="L8" s="18"/>
      <c r="M8" s="18"/>
      <c r="N8" s="18"/>
    </row>
    <row r="9" spans="1:15" x14ac:dyDescent="0.25">
      <c r="B9" s="9"/>
      <c r="C9" s="10"/>
      <c r="D9" s="6"/>
      <c r="E9" s="6"/>
      <c r="F9" s="6"/>
      <c r="G9" s="11"/>
      <c r="I9" s="10"/>
      <c r="J9" s="17"/>
      <c r="K9" s="17"/>
      <c r="L9" s="18"/>
      <c r="M9" s="18"/>
      <c r="N9" s="18"/>
    </row>
    <row r="10" spans="1:15" x14ac:dyDescent="0.25">
      <c r="B10" s="9"/>
      <c r="C10" s="10"/>
      <c r="D10" s="6"/>
      <c r="E10" s="6"/>
      <c r="F10" s="6"/>
      <c r="G10" s="11"/>
      <c r="I10" s="10"/>
      <c r="J10" s="17"/>
      <c r="K10" s="17"/>
      <c r="L10" s="18"/>
      <c r="M10" s="18"/>
      <c r="N10" s="18"/>
    </row>
    <row r="11" spans="1:15" x14ac:dyDescent="0.25">
      <c r="B11" s="9"/>
      <c r="C11" s="10"/>
      <c r="D11" s="6"/>
      <c r="E11" s="6"/>
      <c r="F11" s="6"/>
      <c r="G11" s="11"/>
      <c r="I11" s="10"/>
      <c r="J11" s="17"/>
      <c r="K11" s="17"/>
      <c r="L11" s="18"/>
      <c r="M11" s="18"/>
      <c r="N11" s="18"/>
    </row>
    <row r="12" spans="1:15" x14ac:dyDescent="0.25">
      <c r="B12" s="9"/>
      <c r="C12" s="10"/>
      <c r="D12" s="6"/>
      <c r="E12" s="6"/>
      <c r="F12" s="6"/>
      <c r="G12" s="11"/>
      <c r="I12" s="10"/>
      <c r="J12" s="17"/>
      <c r="K12" s="17"/>
      <c r="L12" s="18"/>
      <c r="M12" s="18"/>
      <c r="N12" s="18"/>
    </row>
    <row r="13" spans="1:15" ht="15.75" thickBot="1" x14ac:dyDescent="0.3">
      <c r="B13" s="9"/>
      <c r="C13" s="10"/>
      <c r="D13" s="6"/>
      <c r="E13" s="6"/>
      <c r="F13" s="6"/>
      <c r="G13" s="11"/>
    </row>
    <row r="14" spans="1:15" ht="15.75" thickBot="1" x14ac:dyDescent="0.3">
      <c r="A14" s="8" t="s">
        <v>6</v>
      </c>
      <c r="B14" s="4" t="s">
        <v>3</v>
      </c>
      <c r="C14" s="4" t="s">
        <v>4</v>
      </c>
      <c r="D14" s="4" t="s">
        <v>5</v>
      </c>
      <c r="E14" s="4" t="s">
        <v>1</v>
      </c>
      <c r="F14" s="5" t="s">
        <v>7</v>
      </c>
    </row>
    <row r="15" spans="1:15" x14ac:dyDescent="0.25">
      <c r="A15" s="12"/>
      <c r="B15" s="13"/>
      <c r="C15" s="13"/>
      <c r="D15" s="14">
        <f>HOUR(C15-B15)*60 + MINUTE(C15-B15)</f>
        <v>0</v>
      </c>
      <c r="E15" s="15">
        <f>ROUND(ROUND(D15*4, 0)*0.8, 0)</f>
        <v>0</v>
      </c>
      <c r="F15">
        <v>240</v>
      </c>
    </row>
    <row r="16" spans="1:15" x14ac:dyDescent="0.25">
      <c r="A16" s="12"/>
      <c r="B16" s="13"/>
      <c r="C16" s="13"/>
      <c r="D16" s="14">
        <f t="shared" ref="D16:D18" si="5">HOUR(C16-B16)*60 + MINUTE(C16-B16)</f>
        <v>0</v>
      </c>
      <c r="E16" s="15">
        <f t="shared" ref="E16:E18" si="6">ROUND(ROUND(D16*4, 0)*0.8, 0)</f>
        <v>0</v>
      </c>
      <c r="F16">
        <v>240</v>
      </c>
    </row>
    <row r="17" spans="1:7" x14ac:dyDescent="0.25">
      <c r="A17" s="12"/>
      <c r="B17" s="13"/>
      <c r="C17" s="13"/>
      <c r="D17" s="14">
        <f t="shared" si="5"/>
        <v>0</v>
      </c>
      <c r="E17" s="15">
        <f t="shared" si="6"/>
        <v>0</v>
      </c>
      <c r="F17">
        <v>240</v>
      </c>
    </row>
    <row r="18" spans="1:7" x14ac:dyDescent="0.25">
      <c r="A18" s="12"/>
      <c r="B18" s="13"/>
      <c r="C18" s="13"/>
      <c r="D18" s="14">
        <f t="shared" si="5"/>
        <v>0</v>
      </c>
      <c r="E18" s="15">
        <f t="shared" si="6"/>
        <v>0</v>
      </c>
      <c r="F18">
        <v>240</v>
      </c>
    </row>
    <row r="19" spans="1:7" x14ac:dyDescent="0.25">
      <c r="A19" s="12"/>
      <c r="D19" s="14"/>
      <c r="E19" s="15"/>
    </row>
    <row r="20" spans="1:7" x14ac:dyDescent="0.25">
      <c r="G20" s="19"/>
    </row>
    <row r="22" spans="1:7" x14ac:dyDescent="0.25">
      <c r="E22" s="9">
        <f>SUM(E15:E20)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Хомін</dc:creator>
  <cp:lastModifiedBy>Хомін</cp:lastModifiedBy>
  <dcterms:created xsi:type="dcterms:W3CDTF">2025-07-05T17:25:58Z</dcterms:created>
  <dcterms:modified xsi:type="dcterms:W3CDTF">2025-07-10T10:11:40Z</dcterms:modified>
</cp:coreProperties>
</file>